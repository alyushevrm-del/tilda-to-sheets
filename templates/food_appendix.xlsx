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330"/>
  </bookViews>
  <sheets>
    <sheet name="Спецификация к договору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4" l="1"/>
  <c r="N35" i="4" l="1"/>
  <c r="N34" i="4" l="1"/>
  <c r="N37" i="4" s="1"/>
  <c r="G48" i="4" l="1"/>
  <c r="G50" i="4" s="1"/>
  <c r="F15" i="4" l="1"/>
</calcChain>
</file>

<file path=xl/sharedStrings.xml><?xml version="1.0" encoding="utf-8"?>
<sst xmlns="http://schemas.openxmlformats.org/spreadsheetml/2006/main" count="63" uniqueCount="58">
  <si>
    <t xml:space="preserve">Организация: </t>
  </si>
  <si>
    <t>указать корпус проживания</t>
  </si>
  <si>
    <t>указать название программы</t>
  </si>
  <si>
    <t>Дата</t>
  </si>
  <si>
    <t>Приемы  пищи</t>
  </si>
  <si>
    <t>перечислить приемы пищи</t>
  </si>
  <si>
    <t>Номер телефона</t>
  </si>
  <si>
    <t>Эл.почта</t>
  </si>
  <si>
    <t>№ п/п</t>
  </si>
  <si>
    <t>Наименование</t>
  </si>
  <si>
    <t>Сумма</t>
  </si>
  <si>
    <t>Предоплата</t>
  </si>
  <si>
    <t>%</t>
  </si>
  <si>
    <t>Комментарий</t>
  </si>
  <si>
    <t>ИТОГО</t>
  </si>
  <si>
    <t xml:space="preserve">Кол-во детей: </t>
  </si>
  <si>
    <t>Кол-во взрослых отдыхающих:</t>
  </si>
  <si>
    <t>Возраст детей:</t>
  </si>
  <si>
    <t>6-10 лет</t>
  </si>
  <si>
    <t>11-15 лет</t>
  </si>
  <si>
    <t>16-17 лет</t>
  </si>
  <si>
    <t>Питание:</t>
  </si>
  <si>
    <t>Развлекательная программа:</t>
  </si>
  <si>
    <t>Размещение</t>
  </si>
  <si>
    <t>Условия оплаты</t>
  </si>
  <si>
    <t>Исполнитель вправе изменить место размещения, указанное в п. 1 в одностороннем порядке</t>
  </si>
  <si>
    <t>Кол-во взрослых (вход на территорию)</t>
  </si>
  <si>
    <t xml:space="preserve">Кол-во сопровождающих: </t>
  </si>
  <si>
    <t>Заказчик:</t>
  </si>
  <si>
    <t>Полная оплата</t>
  </si>
  <si>
    <t>Кол-во суток проживания:</t>
  </si>
  <si>
    <t>Кол-во суток</t>
  </si>
  <si>
    <t>Цена за 1 сут./час</t>
  </si>
  <si>
    <t>Ознакомлен __________________________</t>
  </si>
  <si>
    <t>(подпись и расшифровка подписи)</t>
  </si>
  <si>
    <t xml:space="preserve">Итого стоимость </t>
  </si>
  <si>
    <t>Кол-во чел./час/шт</t>
  </si>
  <si>
    <t xml:space="preserve">завтрак, обед, ужин </t>
  </si>
  <si>
    <t>Организация производит расчет по системе расчетного часа заезда с 12-00 местного времени и  выезда до 14-00 местного времени.</t>
  </si>
  <si>
    <t xml:space="preserve">Услуги, включенные в стоимость </t>
  </si>
  <si>
    <t xml:space="preserve">Место проживания: </t>
  </si>
  <si>
    <t>Адрес: Самарская область, Красноярский район, тер. детский оздоровительный лагерь «Космос-2»</t>
  </si>
  <si>
    <t xml:space="preserve">ЗСОК "Космос"  </t>
  </si>
  <si>
    <t>Наименование турнира</t>
  </si>
  <si>
    <t>Стоимость услуг</t>
  </si>
  <si>
    <t xml:space="preserve">Исполнитель при размещении в номерах вправе установить 2-х ярусные кровати. </t>
  </si>
  <si>
    <t>3-х разовое питание с 05.02.2026-08.02.2026 спортсмены</t>
  </si>
  <si>
    <t>3-х разовое питание с 05.02.2026-08.02.2026 тренер</t>
  </si>
  <si>
    <t>23.03.2026-23.03.2026</t>
  </si>
  <si>
    <t xml:space="preserve">ужин </t>
  </si>
  <si>
    <t>завтрак, обед</t>
  </si>
  <si>
    <t>сухой паек 26.03.2026</t>
  </si>
  <si>
    <t>АССОЦИАЦИЯ «БК «КАЛИЙ-БАСКЕТ»</t>
  </si>
  <si>
    <t>до 25.03.2026</t>
  </si>
  <si>
    <t xml:space="preserve">2/3 корпус </t>
  </si>
  <si>
    <t>Турнир Стремление с 23.03.2026-25.03.2026</t>
  </si>
  <si>
    <t>Приложение № 1 к договору № 0000-000212 от "20" марта 2026г.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</si>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</sst>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7"/>
      <color theme="1"/>
      <name val="Times New Roman"/>
      <family val="1"/>
      <charset val="204"/>
    </font>
    <font>
      <i/>
      <sz val="12"/>
      <color theme="1"/>
      <name val="Bookman Old Style"/>
      <family val="1"/>
      <charset val="204"/>
    </font>
    <font>
      <b/>
      <i/>
      <sz val="12"/>
      <color theme="1"/>
      <name val="Bookman Old Style"/>
      <family val="1"/>
      <charset val="204"/>
    </font>
    <font>
      <b/>
      <i/>
      <sz val="10"/>
      <color theme="1"/>
      <name val="Bookman Old Style"/>
      <family val="1"/>
      <charset val="204"/>
    </font>
    <font>
      <i/>
      <sz val="10"/>
      <color theme="1"/>
      <name val="Bookman Old Style"/>
      <family val="1"/>
      <charset val="204"/>
    </font>
    <font>
      <b/>
      <i/>
      <sz val="11"/>
      <color theme="1"/>
      <name val="Bookman Old Style"/>
      <family val="1"/>
      <charset val="204"/>
    </font>
    <font>
      <b/>
      <u/>
      <sz val="15"/>
      <color theme="1"/>
      <name val="Bookman Old Style"/>
      <family val="1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Bookman Old Style"/>
      <family val="1"/>
      <charset val="204"/>
    </font>
    <font>
      <i/>
      <sz val="8"/>
      <color theme="1"/>
      <name val="Bookman Old Style"/>
      <family val="1"/>
      <charset val="204"/>
    </font>
    <font>
      <b/>
      <sz val="8"/>
      <color theme="1"/>
      <name val="Bookman Old Style"/>
      <family val="1"/>
      <charset val="204"/>
    </font>
    <font>
      <b/>
      <i/>
      <sz val="11"/>
      <color rgb="FF000000"/>
      <name val="Calibri"/>
      <family val="2"/>
      <charset val="204"/>
      <scheme val="minor"/>
    </font>
    <font>
      <sz val="10"/>
      <color theme="1"/>
      <name val="Bookman Old Style"/>
      <family val="1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Bookman Old Style"/>
      <family val="1"/>
      <charset val="204"/>
    </font>
    <font>
      <i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u/>
      <sz val="10"/>
      <color theme="1"/>
      <name val="Bookman Old Style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Border="1" applyAlignment="1"/>
    <xf numFmtId="0" fontId="5" fillId="0" borderId="0" xfId="0" applyFont="1" applyAlignment="1"/>
    <xf numFmtId="49" fontId="12" fillId="0" borderId="0" xfId="0" applyNumberFormat="1" applyFont="1" applyAlignment="1">
      <alignment horizontal="center" vertical="top" wrapText="1"/>
    </xf>
    <xf numFmtId="0" fontId="3" fillId="0" borderId="0" xfId="0" applyFont="1" applyBorder="1" applyAlignment="1">
      <alignment horizontal="left"/>
    </xf>
    <xf numFmtId="0" fontId="0" fillId="0" borderId="0" xfId="0" applyFont="1"/>
    <xf numFmtId="0" fontId="1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/>
    <xf numFmtId="2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5" fillId="0" borderId="3" xfId="0" applyFont="1" applyBorder="1" applyAlignment="1">
      <alignment horizontal="center" vertical="top"/>
    </xf>
    <xf numFmtId="0" fontId="22" fillId="0" borderId="3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2" fontId="18" fillId="2" borderId="4" xfId="0" applyNumberFormat="1" applyFont="1" applyFill="1" applyBorder="1" applyAlignment="1">
      <alignment horizontal="center" vertical="center"/>
    </xf>
    <xf numFmtId="2" fontId="18" fillId="2" borderId="6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1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readingOrder="1"/>
    </xf>
    <xf numFmtId="2" fontId="1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6" fillId="2" borderId="0" xfId="1" applyFill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tabSelected="1" zoomScaleNormal="100" workbookViewId="0">
      <selection activeCell="F17" sqref="F17:O17"/>
    </sheetView>
  </sheetViews>
  <sheetFormatPr defaultRowHeight="15" x14ac:dyDescent="0.25"/>
  <cols>
    <col min="5" max="5" width="13.5703125" customWidth="1"/>
    <col min="8" max="8" width="14.85546875" customWidth="1"/>
    <col min="11" max="11" width="9.5703125" customWidth="1"/>
    <col min="12" max="12" width="15.5703125" customWidth="1"/>
    <col min="13" max="13" width="13.7109375" customWidth="1"/>
  </cols>
  <sheetData>
    <row r="1" spans="1:15" ht="9.75" customHeight="1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24"/>
      <c r="M1" s="62"/>
      <c r="N1" s="62"/>
      <c r="O1" s="62"/>
    </row>
    <row r="2" spans="1:15" ht="18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24"/>
      <c r="M2" s="62"/>
      <c r="N2" s="62"/>
      <c r="O2" s="62"/>
    </row>
    <row r="3" spans="1:15" ht="21.75" x14ac:dyDescent="0.3">
      <c r="A3" s="63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ht="3.75" customHeight="1" x14ac:dyDescent="0.3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5" ht="8.25" customHeight="1" x14ac:dyDescent="0.25"/>
    <row r="6" spans="1:15" ht="30" customHeight="1" x14ac:dyDescent="0.25">
      <c r="A6" s="64" t="s">
        <v>40</v>
      </c>
      <c r="B6" s="64"/>
      <c r="C6" s="64"/>
      <c r="D6" s="65" t="s">
        <v>42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ht="15.75" x14ac:dyDescent="0.25">
      <c r="A7" s="30" t="s">
        <v>41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15" ht="15.75" x14ac:dyDescent="0.25">
      <c r="A8" s="1"/>
      <c r="B8" s="1"/>
      <c r="C8" s="1"/>
      <c r="D8" s="1"/>
      <c r="E8" s="18"/>
      <c r="F8" s="17"/>
      <c r="G8" s="18"/>
      <c r="H8" s="12"/>
      <c r="I8" s="56"/>
      <c r="J8" s="56"/>
      <c r="K8" s="11"/>
      <c r="L8" s="12"/>
      <c r="M8" s="12"/>
      <c r="N8" s="56"/>
      <c r="O8" s="56"/>
    </row>
    <row r="9" spans="1:15" ht="15.75" x14ac:dyDescent="0.25">
      <c r="A9" s="2" t="s">
        <v>30</v>
      </c>
      <c r="B9" s="2"/>
      <c r="E9" s="2"/>
      <c r="F9" s="61" t="s">
        <v>57</v>
      </c>
      <c r="G9" s="44"/>
      <c r="H9" s="44"/>
      <c r="I9" s="44"/>
      <c r="J9" s="44"/>
      <c r="K9" s="44"/>
      <c r="L9" s="44"/>
      <c r="M9" s="44"/>
      <c r="N9" s="44"/>
      <c r="O9" s="44"/>
    </row>
    <row r="10" spans="1:15" ht="15.75" x14ac:dyDescent="0.25">
      <c r="A10" s="2" t="s">
        <v>15</v>
      </c>
      <c r="B10" s="2"/>
      <c r="E10" s="2"/>
      <c r="F10" s="44">
        <v>14</v>
      </c>
      <c r="G10" s="44"/>
      <c r="H10" s="44"/>
      <c r="I10" s="44"/>
      <c r="J10" s="44"/>
      <c r="K10" s="44"/>
      <c r="L10" s="44"/>
      <c r="M10" s="44"/>
      <c r="N10" s="44"/>
      <c r="O10" s="44"/>
    </row>
    <row r="11" spans="1:15" ht="15.75" x14ac:dyDescent="0.25">
      <c r="A11" s="11" t="s">
        <v>27</v>
      </c>
      <c r="B11" s="2"/>
      <c r="E11" s="2"/>
      <c r="F11" s="57">
        <v>1</v>
      </c>
      <c r="G11" s="57"/>
      <c r="H11" s="57"/>
      <c r="I11" s="57"/>
      <c r="J11" s="57"/>
      <c r="K11" s="57"/>
      <c r="L11" s="57"/>
      <c r="M11" s="57"/>
      <c r="N11" s="57"/>
      <c r="O11" s="57"/>
    </row>
    <row r="12" spans="1:15" ht="15.75" x14ac:dyDescent="0.25">
      <c r="A12" s="2" t="s">
        <v>16</v>
      </c>
      <c r="B12" s="2"/>
      <c r="E12" s="2"/>
      <c r="F12" s="58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.75" x14ac:dyDescent="0.25">
      <c r="A13" s="2" t="s">
        <v>26</v>
      </c>
      <c r="B13" s="2"/>
      <c r="E13" s="2"/>
      <c r="F13" s="58"/>
      <c r="G13" s="59"/>
      <c r="H13" s="59"/>
      <c r="I13" s="59"/>
      <c r="J13" s="59"/>
      <c r="K13" s="59"/>
      <c r="L13" s="59"/>
      <c r="M13" s="59"/>
      <c r="N13" s="59"/>
      <c r="O13" s="60"/>
    </row>
    <row r="14" spans="1:15" ht="26.25" customHeight="1" x14ac:dyDescent="0.25">
      <c r="A14" s="2" t="s">
        <v>43</v>
      </c>
      <c r="B14" s="2"/>
      <c r="D14" s="13"/>
      <c r="E14" s="2"/>
      <c r="F14" s="53" t="s">
        <v>55</v>
      </c>
      <c r="G14" s="54"/>
      <c r="H14" s="54"/>
      <c r="I14" s="54"/>
      <c r="J14" s="54"/>
      <c r="K14" s="54"/>
      <c r="L14" s="54"/>
      <c r="M14" s="54"/>
      <c r="N14" s="54"/>
      <c r="O14" s="55"/>
    </row>
    <row r="15" spans="1:15" ht="15.75" x14ac:dyDescent="0.25">
      <c r="A15" s="2" t="s">
        <v>44</v>
      </c>
      <c r="B15" s="2"/>
      <c r="D15" s="13"/>
      <c r="E15" s="2"/>
      <c r="F15" s="34">
        <f>N37</f>
        <v>77925</v>
      </c>
      <c r="G15" s="34"/>
      <c r="H15" s="34"/>
      <c r="I15" s="34"/>
      <c r="J15" s="34"/>
      <c r="K15" s="34"/>
      <c r="L15" s="34"/>
      <c r="M15" s="34"/>
      <c r="N15" s="34"/>
      <c r="O15" s="34"/>
    </row>
    <row r="17" spans="1:15" ht="15.75" x14ac:dyDescent="0.25">
      <c r="A17" s="2" t="s">
        <v>17</v>
      </c>
      <c r="D17" s="45" t="s">
        <v>18</v>
      </c>
      <c r="E17" s="46"/>
      <c r="F17" s="44"/>
      <c r="G17" s="44"/>
      <c r="H17" s="44"/>
      <c r="I17" s="44"/>
      <c r="J17" s="44"/>
      <c r="K17" s="44"/>
      <c r="L17" s="44"/>
      <c r="M17" s="44"/>
      <c r="N17" s="44"/>
      <c r="O17" s="44"/>
    </row>
    <row r="18" spans="1:15" ht="15.75" x14ac:dyDescent="0.25">
      <c r="D18" s="45" t="s">
        <v>19</v>
      </c>
      <c r="E18" s="46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1:15" ht="15.75" x14ac:dyDescent="0.25">
      <c r="D19" s="45" t="s">
        <v>20</v>
      </c>
      <c r="E19" s="46"/>
      <c r="F19" s="44"/>
      <c r="G19" s="44"/>
      <c r="H19" s="44"/>
      <c r="I19" s="44"/>
      <c r="J19" s="44"/>
      <c r="K19" s="44"/>
      <c r="L19" s="44"/>
      <c r="M19" s="44"/>
      <c r="N19" s="44"/>
      <c r="O19" s="44"/>
    </row>
    <row r="20" spans="1:15" ht="19.5" x14ac:dyDescent="0.3">
      <c r="A20" s="47" t="s">
        <v>39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spans="1:15" ht="15.75" x14ac:dyDescent="0.25">
      <c r="A21" s="2">
        <v>1</v>
      </c>
      <c r="B21" s="2" t="s">
        <v>23</v>
      </c>
      <c r="C21" s="2"/>
      <c r="D21" s="10"/>
      <c r="E21" s="42" t="s">
        <v>54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</row>
    <row r="22" spans="1:15" ht="18.75" x14ac:dyDescent="0.3">
      <c r="A22" s="3"/>
      <c r="B22" s="4"/>
      <c r="C22" s="4"/>
      <c r="E22" s="32" t="s">
        <v>1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1:15" ht="18.75" customHeight="1" x14ac:dyDescent="0.25">
      <c r="A23" s="2">
        <v>2</v>
      </c>
      <c r="B23" s="2" t="s">
        <v>22</v>
      </c>
      <c r="C23" s="2"/>
      <c r="D23" s="7"/>
      <c r="E23" s="5"/>
      <c r="F23" s="14"/>
      <c r="G23" s="52"/>
      <c r="H23" s="51"/>
      <c r="I23" s="51"/>
      <c r="J23" s="51"/>
      <c r="K23" s="51"/>
      <c r="L23" s="51"/>
      <c r="M23" s="51"/>
      <c r="N23" s="51"/>
      <c r="O23" s="51"/>
    </row>
    <row r="24" spans="1:15" ht="15.75" x14ac:dyDescent="0.25">
      <c r="A24" s="1"/>
      <c r="B24" s="1"/>
      <c r="C24" s="1"/>
      <c r="D24" s="3"/>
      <c r="E24" s="5"/>
      <c r="G24" s="32" t="s">
        <v>2</v>
      </c>
      <c r="H24" s="32"/>
      <c r="I24" s="32"/>
      <c r="J24" s="32"/>
      <c r="K24" s="32"/>
      <c r="L24" s="32"/>
      <c r="M24" s="32"/>
      <c r="N24" s="32"/>
      <c r="O24" s="32"/>
    </row>
    <row r="25" spans="1:15" ht="15.75" x14ac:dyDescent="0.25">
      <c r="A25" s="2">
        <v>3</v>
      </c>
      <c r="B25" s="2" t="s">
        <v>21</v>
      </c>
      <c r="C25" s="1"/>
      <c r="D25" s="3"/>
      <c r="E25" s="5"/>
      <c r="G25" s="16"/>
      <c r="H25" s="16"/>
      <c r="I25" s="16"/>
      <c r="J25" s="16"/>
      <c r="K25" s="16"/>
      <c r="L25" s="16"/>
      <c r="M25" s="16"/>
      <c r="N25" s="16"/>
      <c r="O25" s="16"/>
    </row>
    <row r="26" spans="1:15" ht="15.75" x14ac:dyDescent="0.25">
      <c r="A26" s="8" t="s">
        <v>3</v>
      </c>
      <c r="B26" s="49">
        <v>46103</v>
      </c>
      <c r="C26" s="50"/>
      <c r="D26" s="50"/>
      <c r="E26" s="1" t="s">
        <v>4</v>
      </c>
      <c r="G26" s="6"/>
      <c r="H26" s="51" t="s">
        <v>49</v>
      </c>
      <c r="I26" s="51"/>
      <c r="J26" s="51"/>
      <c r="K26" s="51"/>
      <c r="L26" s="51"/>
      <c r="M26" s="51"/>
      <c r="N26" s="51"/>
      <c r="O26" s="51"/>
    </row>
    <row r="27" spans="1:15" ht="15.75" x14ac:dyDescent="0.25">
      <c r="A27" s="8"/>
      <c r="B27" s="27"/>
      <c r="C27" s="28"/>
      <c r="D27" s="28"/>
      <c r="E27" s="1"/>
      <c r="G27" s="6"/>
      <c r="H27" s="43" t="s">
        <v>5</v>
      </c>
      <c r="I27" s="43"/>
      <c r="J27" s="43"/>
      <c r="K27" s="43"/>
      <c r="L27" s="43"/>
      <c r="M27" s="43"/>
      <c r="N27" s="43"/>
      <c r="O27" s="43"/>
    </row>
    <row r="28" spans="1:15" ht="15.75" x14ac:dyDescent="0.25">
      <c r="A28" s="8"/>
      <c r="B28" s="49" t="s">
        <v>48</v>
      </c>
      <c r="C28" s="49"/>
      <c r="D28" s="49"/>
      <c r="E28" s="1"/>
      <c r="G28" s="6"/>
      <c r="H28" s="48" t="s">
        <v>37</v>
      </c>
      <c r="I28" s="48"/>
      <c r="J28" s="48"/>
      <c r="K28" s="48"/>
      <c r="L28" s="48"/>
      <c r="M28" s="48"/>
      <c r="N28" s="48"/>
      <c r="O28" s="48"/>
    </row>
    <row r="29" spans="1:15" ht="15.75" x14ac:dyDescent="0.25">
      <c r="A29" s="8"/>
      <c r="B29" s="29"/>
      <c r="C29" s="29"/>
      <c r="D29" s="29"/>
      <c r="E29" s="1"/>
      <c r="G29" s="6"/>
      <c r="H29" s="43" t="s">
        <v>5</v>
      </c>
      <c r="I29" s="43"/>
      <c r="J29" s="43"/>
      <c r="K29" s="43"/>
      <c r="L29" s="43"/>
      <c r="M29" s="43"/>
      <c r="N29" s="43"/>
      <c r="O29" s="43"/>
    </row>
    <row r="30" spans="1:15" ht="15.75" x14ac:dyDescent="0.25">
      <c r="A30" s="8"/>
      <c r="B30" s="49">
        <v>46107</v>
      </c>
      <c r="C30" s="49"/>
      <c r="D30" s="49"/>
      <c r="E30" s="1"/>
      <c r="G30" s="6"/>
      <c r="H30" s="48" t="s">
        <v>50</v>
      </c>
      <c r="I30" s="48"/>
      <c r="J30" s="48"/>
      <c r="K30" s="48"/>
      <c r="L30" s="48"/>
      <c r="M30" s="48"/>
      <c r="N30" s="48"/>
      <c r="O30" s="48"/>
    </row>
    <row r="31" spans="1:15" ht="15.75" x14ac:dyDescent="0.25">
      <c r="A31" s="8"/>
      <c r="B31" s="29"/>
      <c r="C31" s="29"/>
      <c r="D31" s="29"/>
      <c r="E31" s="1"/>
      <c r="G31" s="6"/>
      <c r="H31" s="43" t="s">
        <v>5</v>
      </c>
      <c r="I31" s="43"/>
      <c r="J31" s="43"/>
      <c r="K31" s="43"/>
      <c r="L31" s="43"/>
      <c r="M31" s="43"/>
      <c r="N31" s="43"/>
      <c r="O31" s="43"/>
    </row>
    <row r="32" spans="1:15" ht="19.5" x14ac:dyDescent="0.3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1:15" ht="38.25" x14ac:dyDescent="0.25">
      <c r="A33" s="22" t="s">
        <v>8</v>
      </c>
      <c r="B33" s="67" t="s">
        <v>9</v>
      </c>
      <c r="C33" s="67"/>
      <c r="D33" s="67"/>
      <c r="E33" s="67"/>
      <c r="F33" s="67"/>
      <c r="G33" s="67"/>
      <c r="H33" s="67"/>
      <c r="I33" s="67"/>
      <c r="J33" s="67"/>
      <c r="K33" s="23" t="s">
        <v>36</v>
      </c>
      <c r="L33" s="23" t="s">
        <v>32</v>
      </c>
      <c r="M33" s="23" t="s">
        <v>31</v>
      </c>
      <c r="N33" s="67" t="s">
        <v>10</v>
      </c>
      <c r="O33" s="67"/>
    </row>
    <row r="34" spans="1:15" ht="34.5" customHeight="1" x14ac:dyDescent="0.25">
      <c r="A34" s="21">
        <v>1</v>
      </c>
      <c r="B34" s="36" t="s">
        <v>46</v>
      </c>
      <c r="C34" s="37"/>
      <c r="D34" s="37"/>
      <c r="E34" s="37"/>
      <c r="F34" s="37"/>
      <c r="G34" s="37"/>
      <c r="H34" s="37"/>
      <c r="I34" s="37"/>
      <c r="J34" s="38"/>
      <c r="K34" s="21">
        <v>14</v>
      </c>
      <c r="L34" s="25">
        <v>1200</v>
      </c>
      <c r="M34" s="26">
        <v>4</v>
      </c>
      <c r="N34" s="39">
        <f t="shared" ref="N34" si="0">K34*L34*M34</f>
        <v>67200</v>
      </c>
      <c r="O34" s="40"/>
    </row>
    <row r="35" spans="1:15" ht="34.5" customHeight="1" x14ac:dyDescent="0.25">
      <c r="A35" s="21">
        <v>2</v>
      </c>
      <c r="B35" s="36" t="s">
        <v>47</v>
      </c>
      <c r="C35" s="37"/>
      <c r="D35" s="37"/>
      <c r="E35" s="37"/>
      <c r="F35" s="37"/>
      <c r="G35" s="37"/>
      <c r="H35" s="37"/>
      <c r="I35" s="37"/>
      <c r="J35" s="38"/>
      <c r="K35" s="21">
        <v>1</v>
      </c>
      <c r="L35" s="25">
        <v>1200</v>
      </c>
      <c r="M35" s="26">
        <v>4</v>
      </c>
      <c r="N35" s="39">
        <f>K35*L35*M35</f>
        <v>4800</v>
      </c>
      <c r="O35" s="40"/>
    </row>
    <row r="36" spans="1:15" ht="34.5" customHeight="1" x14ac:dyDescent="0.25">
      <c r="A36" s="21">
        <v>5</v>
      </c>
      <c r="B36" s="36" t="s">
        <v>51</v>
      </c>
      <c r="C36" s="37"/>
      <c r="D36" s="37"/>
      <c r="E36" s="37"/>
      <c r="F36" s="37"/>
      <c r="G36" s="37"/>
      <c r="H36" s="37"/>
      <c r="I36" s="37"/>
      <c r="J36" s="38"/>
      <c r="K36" s="21">
        <v>15</v>
      </c>
      <c r="L36" s="25">
        <v>395</v>
      </c>
      <c r="M36" s="26">
        <v>1</v>
      </c>
      <c r="N36" s="39">
        <f>K36*L36*M36</f>
        <v>5925</v>
      </c>
      <c r="O36" s="40"/>
    </row>
    <row r="37" spans="1:15" ht="15.75" x14ac:dyDescent="0.25">
      <c r="A37" s="44" t="s">
        <v>35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20"/>
      <c r="N37" s="34">
        <f>N34+N35+N36</f>
        <v>77925</v>
      </c>
      <c r="O37" s="34"/>
    </row>
    <row r="38" spans="1:15" ht="22.5" customHeight="1" x14ac:dyDescent="0.25">
      <c r="A38" s="33" t="s">
        <v>45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spans="1:15" ht="9.75" customHeight="1" x14ac:dyDescent="0.25">
      <c r="A39" s="19"/>
      <c r="B39" s="19"/>
      <c r="C39" s="19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5.75" x14ac:dyDescent="0.25">
      <c r="A40" s="35" t="s">
        <v>28</v>
      </c>
      <c r="B40" s="35"/>
      <c r="C40" s="35"/>
      <c r="D40" s="31" t="s">
        <v>52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</row>
    <row r="41" spans="1:15" ht="15.75" x14ac:dyDescent="0.25">
      <c r="A41" s="35" t="s">
        <v>0</v>
      </c>
      <c r="B41" s="35"/>
      <c r="C41" s="35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spans="1:15" ht="15.75" x14ac:dyDescent="0.25">
      <c r="A42" s="35" t="s">
        <v>6</v>
      </c>
      <c r="B42" s="35"/>
      <c r="C42" s="35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ht="15.75" x14ac:dyDescent="0.25">
      <c r="A43" s="35" t="s">
        <v>7</v>
      </c>
      <c r="B43" s="35"/>
      <c r="C43" s="35"/>
      <c r="D43" s="77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</row>
    <row r="44" spans="1:15" ht="4.5" customHeight="1" x14ac:dyDescent="0.25">
      <c r="A44" s="68"/>
      <c r="B44" s="68"/>
      <c r="C44" s="68"/>
      <c r="D44" s="69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5" spans="1:15" ht="19.5" x14ac:dyDescent="0.3">
      <c r="A45" s="47" t="s">
        <v>24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1:15" ht="10.5" customHeight="1" x14ac:dyDescent="0.25">
      <c r="I46" s="9"/>
    </row>
    <row r="47" spans="1:15" ht="15.75" x14ac:dyDescent="0.25">
      <c r="A47" s="71"/>
      <c r="B47" s="71"/>
      <c r="C47" s="72" t="s">
        <v>12</v>
      </c>
      <c r="D47" s="72"/>
      <c r="E47" s="73" t="s">
        <v>3</v>
      </c>
      <c r="F47" s="73"/>
      <c r="G47" s="73" t="s">
        <v>10</v>
      </c>
      <c r="H47" s="73"/>
      <c r="I47" s="73" t="s">
        <v>13</v>
      </c>
      <c r="J47" s="73"/>
      <c r="K47" s="73"/>
      <c r="L47" s="73"/>
      <c r="M47" s="73"/>
      <c r="N47" s="73"/>
      <c r="O47" s="73"/>
    </row>
    <row r="48" spans="1:15" x14ac:dyDescent="0.25">
      <c r="A48" s="73" t="s">
        <v>11</v>
      </c>
      <c r="B48" s="73"/>
      <c r="C48" s="72">
        <v>100</v>
      </c>
      <c r="D48" s="72"/>
      <c r="E48" s="75" t="s">
        <v>53</v>
      </c>
      <c r="F48" s="72"/>
      <c r="G48" s="76">
        <f>N37</f>
        <v>77925</v>
      </c>
      <c r="H48" s="76"/>
      <c r="I48" s="72"/>
      <c r="J48" s="72"/>
      <c r="K48" s="72"/>
      <c r="L48" s="72"/>
      <c r="M48" s="72"/>
      <c r="N48" s="72"/>
      <c r="O48" s="72"/>
    </row>
    <row r="49" spans="1:15" x14ac:dyDescent="0.25">
      <c r="A49" s="73" t="s">
        <v>29</v>
      </c>
      <c r="B49" s="73"/>
      <c r="C49" s="72"/>
      <c r="D49" s="72"/>
      <c r="E49" s="75"/>
      <c r="F49" s="72"/>
      <c r="G49" s="76"/>
      <c r="H49" s="76"/>
      <c r="I49" s="72"/>
      <c r="J49" s="72"/>
      <c r="K49" s="72"/>
      <c r="L49" s="72"/>
      <c r="M49" s="72"/>
      <c r="N49" s="72"/>
      <c r="O49" s="72"/>
    </row>
    <row r="50" spans="1:15" ht="15.75" x14ac:dyDescent="0.25">
      <c r="A50" s="71" t="s">
        <v>14</v>
      </c>
      <c r="B50" s="71"/>
      <c r="C50" s="71"/>
      <c r="D50" s="71"/>
      <c r="E50" s="71"/>
      <c r="F50" s="71"/>
      <c r="G50" s="74">
        <f>G48+G49</f>
        <v>77925</v>
      </c>
      <c r="H50" s="71"/>
      <c r="I50" s="72"/>
      <c r="J50" s="72"/>
      <c r="K50" s="72"/>
      <c r="L50" s="72"/>
      <c r="M50" s="72"/>
      <c r="N50" s="72"/>
      <c r="O50" s="72"/>
    </row>
    <row r="51" spans="1:15" x14ac:dyDescent="0.25">
      <c r="A51" t="s">
        <v>25</v>
      </c>
    </row>
    <row r="52" spans="1:15" x14ac:dyDescent="0.25">
      <c r="I52" s="66" t="s">
        <v>33</v>
      </c>
      <c r="J52" s="66"/>
      <c r="K52" s="66"/>
      <c r="L52" s="66"/>
      <c r="M52" s="66"/>
      <c r="N52" s="66"/>
      <c r="O52" s="66"/>
    </row>
    <row r="53" spans="1:15" x14ac:dyDescent="0.25">
      <c r="I53" s="66" t="s">
        <v>34</v>
      </c>
      <c r="J53" s="66"/>
      <c r="K53" s="66"/>
      <c r="L53" s="66"/>
      <c r="M53" s="66"/>
      <c r="N53" s="66"/>
      <c r="O53" s="66"/>
    </row>
  </sheetData>
  <mergeCells count="79">
    <mergeCell ref="N35:O35"/>
    <mergeCell ref="B35:J35"/>
    <mergeCell ref="A43:C43"/>
    <mergeCell ref="D43:O43"/>
    <mergeCell ref="A41:C41"/>
    <mergeCell ref="D41:O41"/>
    <mergeCell ref="D42:O42"/>
    <mergeCell ref="B36:J36"/>
    <mergeCell ref="N36:O36"/>
    <mergeCell ref="E48:F48"/>
    <mergeCell ref="G48:H48"/>
    <mergeCell ref="I48:O48"/>
    <mergeCell ref="E47:F47"/>
    <mergeCell ref="G47:H47"/>
    <mergeCell ref="A50:F50"/>
    <mergeCell ref="G50:H50"/>
    <mergeCell ref="I50:O50"/>
    <mergeCell ref="A49:B49"/>
    <mergeCell ref="C49:D49"/>
    <mergeCell ref="I49:O49"/>
    <mergeCell ref="E49:F49"/>
    <mergeCell ref="G49:H49"/>
    <mergeCell ref="D18:E18"/>
    <mergeCell ref="I53:O53"/>
    <mergeCell ref="A32:O32"/>
    <mergeCell ref="B33:J33"/>
    <mergeCell ref="N33:O33"/>
    <mergeCell ref="A44:C44"/>
    <mergeCell ref="D44:O44"/>
    <mergeCell ref="A42:C42"/>
    <mergeCell ref="A45:O45"/>
    <mergeCell ref="A47:B47"/>
    <mergeCell ref="C47:D47"/>
    <mergeCell ref="A37:L37"/>
    <mergeCell ref="I47:O47"/>
    <mergeCell ref="A48:B48"/>
    <mergeCell ref="I52:O52"/>
    <mergeCell ref="C48:D48"/>
    <mergeCell ref="A1:K2"/>
    <mergeCell ref="M1:O2"/>
    <mergeCell ref="A3:O3"/>
    <mergeCell ref="A4:O4"/>
    <mergeCell ref="A6:C6"/>
    <mergeCell ref="D6:O6"/>
    <mergeCell ref="F9:O9"/>
    <mergeCell ref="N8:O8"/>
    <mergeCell ref="F10:O10"/>
    <mergeCell ref="F14:O14"/>
    <mergeCell ref="F15:O15"/>
    <mergeCell ref="I8:J8"/>
    <mergeCell ref="D17:E17"/>
    <mergeCell ref="F11:O11"/>
    <mergeCell ref="F17:O17"/>
    <mergeCell ref="F12:O12"/>
    <mergeCell ref="F13:O13"/>
    <mergeCell ref="B30:D30"/>
    <mergeCell ref="E22:O22"/>
    <mergeCell ref="H29:O29"/>
    <mergeCell ref="B26:D26"/>
    <mergeCell ref="H26:O26"/>
    <mergeCell ref="G23:O23"/>
    <mergeCell ref="H27:O27"/>
    <mergeCell ref="H28:O28"/>
    <mergeCell ref="A7:O7"/>
    <mergeCell ref="D40:O40"/>
    <mergeCell ref="G24:O24"/>
    <mergeCell ref="A38:O38"/>
    <mergeCell ref="N37:O37"/>
    <mergeCell ref="A40:C40"/>
    <mergeCell ref="B34:J34"/>
    <mergeCell ref="N34:O34"/>
    <mergeCell ref="F18:O18"/>
    <mergeCell ref="E21:O21"/>
    <mergeCell ref="H31:O31"/>
    <mergeCell ref="F19:O19"/>
    <mergeCell ref="D19:E19"/>
    <mergeCell ref="A20:O20"/>
    <mergeCell ref="H30:O30"/>
    <mergeCell ref="B28:D28"/>
  </mergeCells>
  <pageMargins left="0.70866141732283472" right="0.11811023622047245" top="0.15748031496062992" bottom="0.15748031496062992" header="0.31496062992125984" footer="0.31496062992125984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 к договору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2026-03-20T10:23:23Z</dcterms:modified>
</cp:coreProperties>
</file>