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2210"/>
  </bookViews>
  <sheets>
    <sheet name="Спецификация к договору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9" i="4" l="1"/>
  <c r="F15" i="4" s="1"/>
  <c r="G30" i="4" l="1"/>
  <c r="G32" i="4" s="1"/>
</calcChain>
</file>

<file path=xl/sharedStrings.xml><?xml version="1.0" encoding="utf-8"?>
<sst xmlns="http://schemas.openxmlformats.org/spreadsheetml/2006/main" count="40" uniqueCount="37">
  <si>
    <t xml:space="preserve">Организация: </t>
  </si>
  <si>
    <t>дата</t>
  </si>
  <si>
    <t>Дата</t>
  </si>
  <si>
    <t>время</t>
  </si>
  <si>
    <t>Номер телефона</t>
  </si>
  <si>
    <t>Эл.почта</t>
  </si>
  <si>
    <t>№ п/п</t>
  </si>
  <si>
    <t>Наименование</t>
  </si>
  <si>
    <t>Сумма</t>
  </si>
  <si>
    <t>Предоплата</t>
  </si>
  <si>
    <t>%</t>
  </si>
  <si>
    <t>Комментарий</t>
  </si>
  <si>
    <t>ИТОГО</t>
  </si>
  <si>
    <t>Условия оплаты</t>
  </si>
  <si>
    <t>Заказчик:</t>
  </si>
  <si>
    <t>Полная оплата</t>
  </si>
  <si>
    <t>Ознакомлен __________________________</t>
  </si>
  <si>
    <t>(подпись и расшифровка подписи)</t>
  </si>
  <si>
    <t xml:space="preserve">Стоимость </t>
  </si>
  <si>
    <t xml:space="preserve">Итого стоимость </t>
  </si>
  <si>
    <t>Дата перевозки</t>
  </si>
  <si>
    <t xml:space="preserve">Кол-во автобусов для перевозки </t>
  </si>
  <si>
    <t>Кол-во спортсменов и тренеров</t>
  </si>
  <si>
    <t xml:space="preserve">Стоимость услуг </t>
  </si>
  <si>
    <t xml:space="preserve">Оказание услуг по организации перевозки </t>
  </si>
  <si>
    <t>сумма</t>
  </si>
  <si>
    <r>
      <t>Время подачи транспорта:</t>
    </r>
    <r>
      <rPr>
        <b/>
        <i/>
        <sz val="12"/>
        <color indexed="8"/>
        <rFont val="Bookman Old Style"/>
        <family val="1"/>
        <charset val="204"/>
      </rPr>
      <t xml:space="preserve"> </t>
    </r>
  </si>
  <si>
    <t>перевозка от ДОЛ "Космос-2"</t>
  </si>
  <si>
    <r>
      <rPr>
        <b/>
        <i/>
        <sz val="12"/>
        <color theme="1"/>
        <rFont val="Bookman Old Style"/>
        <family val="1"/>
        <charset val="204"/>
      </rPr>
      <t xml:space="preserve">Маршрут перевозки:                </t>
    </r>
    <r>
      <rPr>
        <i/>
        <sz val="12"/>
        <color theme="1"/>
        <rFont val="Bookman Old Style"/>
        <family val="1"/>
        <charset val="204"/>
      </rPr>
      <t xml:space="preserve"> 1. из ж/д вокзала (г. Самара) в ДОЛ "Космос-2" (Самарская область, Красноярский район)                                                                                                                                                                                                                                                                                                  Красноярский район) </t>
    </r>
  </si>
  <si>
    <r>
      <rPr>
        <b/>
        <i/>
        <sz val="12"/>
        <color theme="1"/>
        <rFont val="Bookman Old Style"/>
        <family val="1"/>
        <charset val="204"/>
      </rPr>
      <t xml:space="preserve">Маршрут перевозки: </t>
    </r>
    <r>
      <rPr>
        <i/>
        <sz val="12"/>
        <color theme="1"/>
        <rFont val="Bookman Old Style"/>
        <family val="1"/>
        <charset val="204"/>
      </rPr>
      <t xml:space="preserve">            2. из  ДОЛ "Космос-2"(Самараская область Красноярский район) до ж/д вокзала (г. Самара)</t>
    </r>
  </si>
  <si>
    <t>перевозка из ж/д в вокзала</t>
  </si>
  <si>
    <t>Коновалов Данил Владимирович</t>
  </si>
  <si>
    <t>Приложение № 1 к договору  № 0000-000211 от "20" марта 2026г.</t>
  </si>
  <si>
    <t>22.03.2026</t>
  </si>
  <si>
    <t>26.03.2026</t>
  </si>
  <si>
    <t>1</t>
  </si>
  <si>
    <t>до 25.03.2026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</si>
</sst>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7"/>
      <color theme="1"/>
      <name val="Times New Roman"/>
      <family val="1"/>
      <charset val="204"/>
    </font>
    <font>
      <i/>
      <sz val="12"/>
      <color theme="1"/>
      <name val="Bookman Old Style"/>
      <family val="1"/>
      <charset val="204"/>
    </font>
    <font>
      <b/>
      <i/>
      <sz val="12"/>
      <color theme="1"/>
      <name val="Bookman Old Style"/>
      <family val="1"/>
      <charset val="204"/>
    </font>
    <font>
      <b/>
      <i/>
      <sz val="10"/>
      <color theme="1"/>
      <name val="Bookman Old Style"/>
      <family val="1"/>
      <charset val="204"/>
    </font>
    <font>
      <i/>
      <sz val="10"/>
      <color theme="1"/>
      <name val="Bookman Old Style"/>
      <family val="1"/>
      <charset val="204"/>
    </font>
    <font>
      <b/>
      <i/>
      <sz val="11"/>
      <color theme="1"/>
      <name val="Bookman Old Style"/>
      <family val="1"/>
      <charset val="204"/>
    </font>
    <font>
      <b/>
      <u/>
      <sz val="15"/>
      <color theme="1"/>
      <name val="Bookman Old Style"/>
      <family val="1"/>
      <charset val="204"/>
    </font>
    <font>
      <b/>
      <sz val="12"/>
      <color theme="1"/>
      <name val="Bookman Old Style"/>
      <family val="1"/>
      <charset val="204"/>
    </font>
    <font>
      <i/>
      <sz val="8"/>
      <color theme="1"/>
      <name val="Bookman Old Style"/>
      <family val="1"/>
      <charset val="204"/>
    </font>
    <font>
      <b/>
      <sz val="8"/>
      <color theme="1"/>
      <name val="Bookman Old Style"/>
      <family val="1"/>
      <charset val="204"/>
    </font>
    <font>
      <b/>
      <i/>
      <sz val="11"/>
      <color rgb="FF000000"/>
      <name val="Calibri"/>
      <family val="2"/>
      <charset val="204"/>
      <scheme val="minor"/>
    </font>
    <font>
      <sz val="10"/>
      <color theme="1"/>
      <name val="Bookman Old Style"/>
      <family val="1"/>
      <charset val="204"/>
    </font>
    <font>
      <u/>
      <sz val="11"/>
      <color theme="10"/>
      <name val="Calibri"/>
      <family val="2"/>
      <scheme val="minor"/>
    </font>
    <font>
      <i/>
      <sz val="11"/>
      <color theme="1"/>
      <name val="Bookman Old Style"/>
      <family val="1"/>
      <charset val="204"/>
    </font>
    <font>
      <sz val="9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2"/>
      <color indexed="8"/>
      <name val="Bookman Old Style"/>
      <family val="1"/>
      <charset val="204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/>
    <xf numFmtId="0" fontId="0" fillId="0" borderId="0" xfId="0" applyAlignment="1">
      <alignment horizontal="left"/>
    </xf>
    <xf numFmtId="0" fontId="5" fillId="0" borderId="0" xfId="0" applyFont="1" applyAlignment="1"/>
    <xf numFmtId="49" fontId="9" fillId="0" borderId="0" xfId="0" applyNumberFormat="1" applyFont="1" applyAlignment="1">
      <alignment horizontal="center" vertical="top" wrapText="1"/>
    </xf>
    <xf numFmtId="0" fontId="12" fillId="0" borderId="0" xfId="0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/>
    <xf numFmtId="0" fontId="5" fillId="0" borderId="1" xfId="0" applyFont="1" applyBorder="1" applyAlignment="1">
      <alignment horizontal="center" vertical="center" wrapText="1"/>
    </xf>
    <xf numFmtId="0" fontId="18" fillId="0" borderId="0" xfId="0" applyFont="1"/>
    <xf numFmtId="20" fontId="6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4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2" fontId="14" fillId="0" borderId="4" xfId="0" applyNumberFormat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9" fillId="0" borderId="0" xfId="0" applyNumberFormat="1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readingOrder="1"/>
    </xf>
    <xf numFmtId="0" fontId="10" fillId="2" borderId="0" xfId="0" applyFont="1" applyFill="1" applyAlignment="1">
      <alignment horizontal="left" vertical="center"/>
    </xf>
    <xf numFmtId="0" fontId="13" fillId="2" borderId="0" xfId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14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8" fillId="0" borderId="1" xfId="0" applyNumberFormat="1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5"/>
  <sheetViews>
    <sheetView tabSelected="1" zoomScaleNormal="100" workbookViewId="0">
      <selection activeCell="G31" sqref="G31:H31"/>
    </sheetView>
  </sheetViews>
  <sheetFormatPr defaultRowHeight="15" x14ac:dyDescent="0.25"/>
  <cols>
    <col min="5" max="5" width="13.5703125" customWidth="1"/>
    <col min="8" max="8" width="14.85546875" customWidth="1"/>
    <col min="11" max="11" width="12.140625" customWidth="1"/>
    <col min="12" max="12" width="15.5703125" customWidth="1"/>
    <col min="13" max="13" width="13.7109375" customWidth="1"/>
  </cols>
  <sheetData>
    <row r="1" spans="1:15" ht="9.75" customHeight="1" x14ac:dyDescent="0.25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11"/>
      <c r="M1" s="48"/>
      <c r="N1" s="48"/>
      <c r="O1" s="48"/>
    </row>
    <row r="2" spans="1:15" ht="2.25" customHeigh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11"/>
      <c r="M2" s="48"/>
      <c r="N2" s="48"/>
      <c r="O2" s="48"/>
    </row>
    <row r="3" spans="1:15" ht="38.25" customHeight="1" x14ac:dyDescent="0.25">
      <c r="A3" s="49" t="s">
        <v>32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15" ht="3.75" customHeight="1" x14ac:dyDescent="0.3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</row>
    <row r="5" spans="1:15" ht="8.25" customHeight="1" x14ac:dyDescent="0.25"/>
    <row r="6" spans="1:15" ht="30" customHeight="1" x14ac:dyDescent="0.25">
      <c r="A6" s="15" t="s">
        <v>20</v>
      </c>
      <c r="B6" s="15"/>
      <c r="C6" s="15"/>
      <c r="D6" s="16">
        <v>46103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1:15" ht="32.25" customHeight="1" x14ac:dyDescent="0.25">
      <c r="A7" s="18" t="s">
        <v>28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</row>
    <row r="8" spans="1:15" ht="30" customHeight="1" x14ac:dyDescent="0.25">
      <c r="A8" s="15" t="s">
        <v>20</v>
      </c>
      <c r="B8" s="15"/>
      <c r="C8" s="15"/>
      <c r="D8" s="16">
        <v>46107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spans="1:15" ht="32.25" customHeight="1" x14ac:dyDescent="0.25">
      <c r="A9" s="18" t="s">
        <v>29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 spans="1:15" ht="15.75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</row>
    <row r="11" spans="1:15" ht="67.5" customHeight="1" x14ac:dyDescent="0.25">
      <c r="A11" s="15" t="s">
        <v>26</v>
      </c>
      <c r="B11" s="15"/>
      <c r="C11" s="15"/>
      <c r="D11" s="15"/>
      <c r="E11" s="7"/>
      <c r="F11" s="35" t="s">
        <v>30</v>
      </c>
      <c r="G11" s="35"/>
      <c r="H11" s="14">
        <v>0.62083333333333335</v>
      </c>
      <c r="I11" s="32" t="s">
        <v>33</v>
      </c>
      <c r="J11" s="32"/>
      <c r="K11" s="12" t="s">
        <v>27</v>
      </c>
      <c r="L11" s="14">
        <v>0.77083333333333337</v>
      </c>
      <c r="M11" s="32" t="s">
        <v>34</v>
      </c>
      <c r="N11" s="32"/>
      <c r="O11" s="32"/>
    </row>
    <row r="12" spans="1:15" ht="15.75" x14ac:dyDescent="0.25">
      <c r="A12" s="1"/>
      <c r="B12" s="1"/>
      <c r="C12" s="1"/>
      <c r="D12" s="1"/>
      <c r="E12" s="7"/>
      <c r="F12" s="6"/>
      <c r="G12" s="7"/>
      <c r="H12" s="4" t="s">
        <v>3</v>
      </c>
      <c r="I12" s="38" t="s">
        <v>1</v>
      </c>
      <c r="J12" s="38"/>
      <c r="K12" s="3"/>
      <c r="L12" s="4" t="s">
        <v>3</v>
      </c>
      <c r="M12" s="4"/>
      <c r="N12" s="38" t="s">
        <v>1</v>
      </c>
      <c r="O12" s="38"/>
    </row>
    <row r="13" spans="1:15" ht="15.75" x14ac:dyDescent="0.25">
      <c r="A13" s="1" t="s">
        <v>21</v>
      </c>
      <c r="B13" s="1"/>
      <c r="C13" s="13"/>
      <c r="D13" s="13"/>
      <c r="E13" s="1"/>
      <c r="F13" s="36" t="s">
        <v>35</v>
      </c>
      <c r="G13" s="37"/>
      <c r="H13" s="37"/>
      <c r="I13" s="37"/>
      <c r="J13" s="37"/>
      <c r="K13" s="37"/>
      <c r="L13" s="37"/>
      <c r="M13" s="37"/>
      <c r="N13" s="37"/>
      <c r="O13" s="37"/>
    </row>
    <row r="14" spans="1:15" ht="15.75" x14ac:dyDescent="0.25">
      <c r="A14" s="1" t="s">
        <v>22</v>
      </c>
      <c r="B14" s="1"/>
      <c r="C14" s="13"/>
      <c r="D14" s="13"/>
      <c r="E14" s="1"/>
      <c r="F14" s="37">
        <v>14</v>
      </c>
      <c r="G14" s="37"/>
      <c r="H14" s="37"/>
      <c r="I14" s="37"/>
      <c r="J14" s="37"/>
      <c r="K14" s="37"/>
      <c r="L14" s="37"/>
      <c r="M14" s="37"/>
      <c r="N14" s="37"/>
      <c r="O14" s="37"/>
    </row>
    <row r="15" spans="1:15" ht="15.75" x14ac:dyDescent="0.25">
      <c r="A15" s="33" t="s">
        <v>23</v>
      </c>
      <c r="B15" s="33"/>
      <c r="C15" s="33"/>
      <c r="D15" s="33"/>
      <c r="E15" s="34"/>
      <c r="F15" s="39">
        <f>K19</f>
        <v>16750</v>
      </c>
      <c r="G15" s="39"/>
      <c r="H15" s="39"/>
      <c r="I15" s="39"/>
      <c r="J15" s="39"/>
      <c r="K15" s="39"/>
      <c r="L15" s="39"/>
      <c r="M15" s="39"/>
      <c r="N15" s="39"/>
      <c r="O15" s="39"/>
    </row>
    <row r="16" spans="1:15" ht="19.5" x14ac:dyDescent="0.3">
      <c r="A16" s="52" t="s">
        <v>18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</row>
    <row r="17" spans="1:15" x14ac:dyDescent="0.25">
      <c r="A17" s="10" t="s">
        <v>6</v>
      </c>
      <c r="B17" s="53" t="s">
        <v>7</v>
      </c>
      <c r="C17" s="53"/>
      <c r="D17" s="53"/>
      <c r="E17" s="53"/>
      <c r="F17" s="53"/>
      <c r="G17" s="53"/>
      <c r="H17" s="53"/>
      <c r="I17" s="53"/>
      <c r="J17" s="53"/>
      <c r="K17" s="20" t="s">
        <v>25</v>
      </c>
      <c r="L17" s="21"/>
      <c r="M17" s="21"/>
      <c r="N17" s="21"/>
      <c r="O17" s="22"/>
    </row>
    <row r="18" spans="1:15" ht="34.5" customHeight="1" x14ac:dyDescent="0.25">
      <c r="A18" s="9">
        <v>1</v>
      </c>
      <c r="B18" s="45" t="s">
        <v>24</v>
      </c>
      <c r="C18" s="46"/>
      <c r="D18" s="46"/>
      <c r="E18" s="46"/>
      <c r="F18" s="46"/>
      <c r="G18" s="46"/>
      <c r="H18" s="46"/>
      <c r="I18" s="46"/>
      <c r="J18" s="47"/>
      <c r="K18" s="23">
        <v>16750</v>
      </c>
      <c r="L18" s="24"/>
      <c r="M18" s="24"/>
      <c r="N18" s="24"/>
      <c r="O18" s="25"/>
    </row>
    <row r="19" spans="1:15" ht="15.75" x14ac:dyDescent="0.25">
      <c r="A19" s="26" t="s">
        <v>19</v>
      </c>
      <c r="B19" s="27"/>
      <c r="C19" s="27"/>
      <c r="D19" s="27"/>
      <c r="E19" s="27"/>
      <c r="F19" s="27"/>
      <c r="G19" s="27"/>
      <c r="H19" s="27"/>
      <c r="I19" s="27"/>
      <c r="J19" s="28"/>
      <c r="K19" s="29">
        <f>K18</f>
        <v>16750</v>
      </c>
      <c r="L19" s="30"/>
      <c r="M19" s="30"/>
      <c r="N19" s="30"/>
      <c r="O19" s="31"/>
    </row>
    <row r="20" spans="1:15" ht="22.5" customHeight="1" x14ac:dyDescent="0.25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</row>
    <row r="21" spans="1:15" ht="9.75" customHeight="1" x14ac:dyDescent="0.25">
      <c r="A21" s="8"/>
      <c r="B21" s="8"/>
      <c r="C21" s="8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x14ac:dyDescent="0.25">
      <c r="A22" s="41" t="s">
        <v>14</v>
      </c>
      <c r="B22" s="41"/>
      <c r="C22" s="41"/>
      <c r="D22" s="43" t="s">
        <v>31</v>
      </c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</row>
    <row r="23" spans="1:15" ht="15.75" x14ac:dyDescent="0.25">
      <c r="A23" s="41" t="s">
        <v>0</v>
      </c>
      <c r="B23" s="41"/>
      <c r="C23" s="41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</row>
    <row r="24" spans="1:15" ht="15.75" x14ac:dyDescent="0.25">
      <c r="A24" s="41" t="s">
        <v>4</v>
      </c>
      <c r="B24" s="41"/>
      <c r="C24" s="41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</row>
    <row r="25" spans="1:15" ht="15.75" x14ac:dyDescent="0.25">
      <c r="A25" s="41" t="s">
        <v>5</v>
      </c>
      <c r="B25" s="41"/>
      <c r="C25" s="41"/>
      <c r="D25" s="42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</row>
    <row r="26" spans="1:15" ht="4.5" customHeight="1" x14ac:dyDescent="0.25">
      <c r="A26" s="54"/>
      <c r="B26" s="54"/>
      <c r="C26" s="54"/>
      <c r="D26" s="55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</row>
    <row r="27" spans="1:15" ht="19.5" x14ac:dyDescent="0.3">
      <c r="A27" s="52" t="s">
        <v>13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</row>
    <row r="28" spans="1:15" ht="10.5" customHeight="1" x14ac:dyDescent="0.25">
      <c r="I28" s="2"/>
    </row>
    <row r="29" spans="1:15" ht="15.75" x14ac:dyDescent="0.25">
      <c r="A29" s="57"/>
      <c r="B29" s="57"/>
      <c r="C29" s="58" t="s">
        <v>10</v>
      </c>
      <c r="D29" s="58"/>
      <c r="E29" s="40" t="s">
        <v>2</v>
      </c>
      <c r="F29" s="40"/>
      <c r="G29" s="40" t="s">
        <v>8</v>
      </c>
      <c r="H29" s="40"/>
      <c r="I29" s="40" t="s">
        <v>11</v>
      </c>
      <c r="J29" s="40"/>
      <c r="K29" s="40"/>
      <c r="L29" s="40"/>
      <c r="M29" s="40"/>
      <c r="N29" s="40"/>
      <c r="O29" s="40"/>
    </row>
    <row r="30" spans="1:15" x14ac:dyDescent="0.25">
      <c r="A30" s="40" t="s">
        <v>9</v>
      </c>
      <c r="B30" s="40"/>
      <c r="C30" s="58">
        <v>100</v>
      </c>
      <c r="D30" s="58"/>
      <c r="E30" s="59" t="s">
        <v>36</v>
      </c>
      <c r="F30" s="58"/>
      <c r="G30" s="60">
        <f>K19</f>
        <v>16750</v>
      </c>
      <c r="H30" s="60"/>
      <c r="I30" s="58"/>
      <c r="J30" s="58"/>
      <c r="K30" s="58"/>
      <c r="L30" s="58"/>
      <c r="M30" s="58"/>
      <c r="N30" s="58"/>
      <c r="O30" s="58"/>
    </row>
    <row r="31" spans="1:15" x14ac:dyDescent="0.25">
      <c r="A31" s="40" t="s">
        <v>15</v>
      </c>
      <c r="B31" s="40"/>
      <c r="C31" s="58"/>
      <c r="D31" s="58"/>
      <c r="E31" s="59"/>
      <c r="F31" s="58"/>
      <c r="G31" s="60"/>
      <c r="H31" s="60"/>
      <c r="I31" s="58"/>
      <c r="J31" s="58"/>
      <c r="K31" s="58"/>
      <c r="L31" s="58"/>
      <c r="M31" s="58"/>
      <c r="N31" s="58"/>
      <c r="O31" s="58"/>
    </row>
    <row r="32" spans="1:15" ht="15.75" x14ac:dyDescent="0.25">
      <c r="A32" s="57" t="s">
        <v>12</v>
      </c>
      <c r="B32" s="57"/>
      <c r="C32" s="57"/>
      <c r="D32" s="57"/>
      <c r="E32" s="57"/>
      <c r="F32" s="57"/>
      <c r="G32" s="61">
        <f>G30+G31</f>
        <v>16750</v>
      </c>
      <c r="H32" s="57"/>
      <c r="I32" s="58"/>
      <c r="J32" s="58"/>
      <c r="K32" s="58"/>
      <c r="L32" s="58"/>
      <c r="M32" s="58"/>
      <c r="N32" s="58"/>
      <c r="O32" s="58"/>
    </row>
    <row r="34" spans="9:15" x14ac:dyDescent="0.25">
      <c r="I34" s="51" t="s">
        <v>16</v>
      </c>
      <c r="J34" s="51"/>
      <c r="K34" s="51"/>
      <c r="L34" s="51"/>
      <c r="M34" s="51"/>
      <c r="N34" s="51"/>
      <c r="O34" s="51"/>
    </row>
    <row r="35" spans="9:15" x14ac:dyDescent="0.25">
      <c r="I35" s="51" t="s">
        <v>17</v>
      </c>
      <c r="J35" s="51"/>
      <c r="K35" s="51"/>
      <c r="L35" s="51"/>
      <c r="M35" s="51"/>
      <c r="N35" s="51"/>
      <c r="O35" s="51"/>
    </row>
  </sheetData>
  <mergeCells count="60">
    <mergeCell ref="A32:F32"/>
    <mergeCell ref="G32:H32"/>
    <mergeCell ref="I32:O32"/>
    <mergeCell ref="A31:B31"/>
    <mergeCell ref="C31:D31"/>
    <mergeCell ref="I31:O31"/>
    <mergeCell ref="E31:F31"/>
    <mergeCell ref="G31:H31"/>
    <mergeCell ref="I35:O35"/>
    <mergeCell ref="A16:O16"/>
    <mergeCell ref="B17:J17"/>
    <mergeCell ref="A26:C26"/>
    <mergeCell ref="D26:O26"/>
    <mergeCell ref="A24:C24"/>
    <mergeCell ref="A27:O27"/>
    <mergeCell ref="A29:B29"/>
    <mergeCell ref="C29:D29"/>
    <mergeCell ref="I29:O29"/>
    <mergeCell ref="A30:B30"/>
    <mergeCell ref="I34:O34"/>
    <mergeCell ref="C30:D30"/>
    <mergeCell ref="E30:F30"/>
    <mergeCell ref="G30:H30"/>
    <mergeCell ref="I30:O30"/>
    <mergeCell ref="A1:K2"/>
    <mergeCell ref="M1:O2"/>
    <mergeCell ref="A3:O3"/>
    <mergeCell ref="A4:O4"/>
    <mergeCell ref="A6:C6"/>
    <mergeCell ref="D6:O6"/>
    <mergeCell ref="D22:O22"/>
    <mergeCell ref="A22:C22"/>
    <mergeCell ref="D24:O24"/>
    <mergeCell ref="A20:O20"/>
    <mergeCell ref="B18:J18"/>
    <mergeCell ref="E29:F29"/>
    <mergeCell ref="G29:H29"/>
    <mergeCell ref="A25:C25"/>
    <mergeCell ref="D25:O25"/>
    <mergeCell ref="A23:C23"/>
    <mergeCell ref="D23:O23"/>
    <mergeCell ref="K17:O17"/>
    <mergeCell ref="K18:O18"/>
    <mergeCell ref="A19:J19"/>
    <mergeCell ref="K19:O19"/>
    <mergeCell ref="A11:D11"/>
    <mergeCell ref="M11:O11"/>
    <mergeCell ref="A15:E15"/>
    <mergeCell ref="F11:G11"/>
    <mergeCell ref="F13:O13"/>
    <mergeCell ref="N12:O12"/>
    <mergeCell ref="F14:O14"/>
    <mergeCell ref="I11:J11"/>
    <mergeCell ref="F15:O15"/>
    <mergeCell ref="I12:J12"/>
    <mergeCell ref="A8:C8"/>
    <mergeCell ref="D8:O8"/>
    <mergeCell ref="A9:O9"/>
    <mergeCell ref="A7:O7"/>
    <mergeCell ref="A10:O10"/>
  </mergeCells>
  <pageMargins left="0.70866141732283472" right="0.11811023622047245" top="0.15748031496062992" bottom="0.15748031496062992" header="0.31496062992125984" footer="0.31496062992125984"/>
  <pageSetup paperSize="9" scale="5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Спецификация к договору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2026-03-20T10:30:34Z</dcterms:modified>
</cp:coreProperties>
</file>